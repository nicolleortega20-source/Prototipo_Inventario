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nicolleortega/Desktop/PROYECTO-3/"/>
    </mc:Choice>
  </mc:AlternateContent>
  <xr:revisionPtr revIDLastSave="0" documentId="8_{25059C7D-DB2A-0145-B5F1-7F5408515560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Instrucciones" sheetId="1" r:id="rId1"/>
    <sheet name="Trazabilidad" sheetId="2" r:id="rId2"/>
    <sheet name="Resumen Cobertura" sheetId="3" r:id="rId3"/>
  </sheets>
  <definedNames>
    <definedName name="_xlnm._FilterDatabase" localSheetId="1" hidden="1">Trazabilidad!$A$3:$J$200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<sst xmlns="http://schemas.openxmlformats.org/spreadsheetml/2006/main" count="243" uniqueCount="161">
  <si>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</si>
  <si>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</si>
  <si>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</si>
  <si>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</si>
  <si>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</si>
  <si>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</si>
  <si>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</si>
  <si>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</si>
  <si>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</si>
  <si>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</si>
  <si>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</si>
  <si>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</si>
  <si>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</si>
  <si>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</si>
  <si>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</si>
  <si>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</si>
  <si>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</si>
  <si>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>¿Cómo identificar las pantallas? (columna 'ID Pantalla')</t>
  </si>
  <si>
    <t>El ID de pantalla (PNT-01, PNT-02...) es un código que SU EQUIPO inventa para identificar cada pantalla del prototipo. No existe un estándar externo — simplemente asignen un número secuencial a cada pantalla.</t>
  </si>
  <si>
    <t>Pasos para definir los IDs:</t>
  </si>
  <si>
    <t>1.  Abran su prototipo HTML y listen todas las pantallas que tiene.</t>
  </si>
  <si>
    <t>2.  Asignen PNT-01 a la primera, PNT-02 a la segunda, y así sucesivamente.</t>
  </si>
  <si>
    <t>3.  Usen esos mismos IDs en esta matriz, en la Especificación Final y en el README de GitHub.</t>
  </si>
  <si>
    <t>⚠️  Regla crítica: un ID que aparece en esta matriz DEBE existir con ese mismo nombre en el prototipo. Si cambian el nombre de una pantalla en el HTML, actualicen la matriz.</t>
  </si>
  <si>
    <t>Ejemplo de lista de pantallas para un sistema de guías de valoración:</t>
  </si>
  <si>
    <t>ID Pantalla</t>
  </si>
  <si>
    <t>Nombre descriptivo</t>
  </si>
  <si>
    <t>PNT-01</t>
  </si>
  <si>
    <t>Login / Inicio de sesión</t>
  </si>
  <si>
    <t>PNT-02</t>
  </si>
  <si>
    <t>Dashboard — vista general del estudiante</t>
  </si>
  <si>
    <t>PNT-03</t>
  </si>
  <si>
    <t>Captura de guía de valoración</t>
  </si>
  <si>
    <t>PNT-04</t>
  </si>
  <si>
    <t>Historial de guías del paciente</t>
  </si>
  <si>
    <t>PNT-05</t>
  </si>
  <si>
    <t>Panel de revisión del docente</t>
  </si>
  <si>
    <t>PNT-06</t>
  </si>
  <si>
    <t>Administración de plantillas (coordinador)</t>
  </si>
  <si>
    <t>¿Qué nivel de detalle se espera? (columna 'Sección / Componente')</t>
  </si>
  <si>
    <t>Esta columna ubica DENTRO de una pantalla el lugar exacto donde el requerimiento es visible. No basta con nombrar la pantalla — hay que señalar el elemento específico.</t>
  </si>
  <si>
    <t>Piénsenlo así: alguien que nunca ha visto su prototipo debe poder abrir el HTML y encontrar ese elemento en menos de 30 segundos con su descripción.</t>
  </si>
  <si>
    <t>Ejemplos: descripción vaga vs. descripción útil</t>
  </si>
  <si>
    <t>❌  Descripción vaga (no aceptable)</t>
  </si>
  <si>
    <t>✅  Descripción específica (lo que se espera)</t>
  </si>
  <si>
    <t>❌  'Pantalla de captura'</t>
  </si>
  <si>
    <t>✅  'Formulario principal — sección Patrón nutricional, campo Tipo de dieta'</t>
  </si>
  <si>
    <t>❌  'Menú'</t>
  </si>
  <si>
    <t>✅  'Barra de navegación lateral, ítem Mis guías'</t>
  </si>
  <si>
    <t>❌  'Login'</t>
  </si>
  <si>
    <t>✅  'Selector de rol debajo del campo de contraseña'</t>
  </si>
  <si>
    <t>❌  'Pantalla del docente'</t>
  </si>
  <si>
    <t>✅  'Tabla de guías del grupo, columna Estado — botón Ver detalle'</t>
  </si>
  <si>
    <t>❌  'Dashboard'</t>
  </si>
  <si>
    <t>✅  'Tarjeta resumen en esquina superior derecha — contador de guías pendientes'</t>
  </si>
  <si>
    <t>Casos especiales — ¿qué poner cuando el requerimiento no es visible en el prototipo?</t>
  </si>
  <si>
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</si>
  <si>
    <t>• No cubierto: El requerimiento SÍ debería ser visible en el prototipo pero aún no está implementado. Documentarlo así y no omitirlo — la transparencia es parte de la evaluación.</t>
  </si>
  <si>
    <t>• Parcialmente cubierto: El prototipo muestra parte del requerimiento pero no todo. En Observaciones indicar qué falta exactamente.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</si>
  <si>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</si>
  <si>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</si>
  <si>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</si>
  <si>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</si>
  <si>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</si>
  <si>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</si>
  <si>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</si>
  <si>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</si>
  <si>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</si>
  <si>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</si>
  <si>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</si>
  <si>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</si>
  <si>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</si>
  <si>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</si>
  <si>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</si>
  <si>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Registrar entradas de ítems al inventario</t>
  </si>
  <si>
    <t>Must have</t>
  </si>
  <si>
    <t>Inventario</t>
  </si>
  <si>
    <t>Modal 'Registrar entrada' — campos Ítem, Cantidad, Fecha y Motivo; caja de confirmación antes de guardar; botón 'Confirmar entrada'</t>
  </si>
  <si>
    <t>Cubierto</t>
  </si>
  <si>
    <t>Sí</t>
  </si>
  <si>
    <t>RF-02</t>
  </si>
  <si>
    <t>Registrar salidas de ítems del inventario</t>
  </si>
  <si>
    <t>Modal 'Registrar salida / préstamo' — campos Ítem, Cantidad, Docente responsable (obligatorio), Fecha y Motivo; caja de confirmación antes de guardar</t>
  </si>
  <si>
    <t>Campo de docente responsable añadido según retroalimentación PNT-02</t>
  </si>
  <si>
    <t>RF-03</t>
  </si>
  <si>
    <t>Mantener control actualizado del inventario</t>
  </si>
  <si>
    <t>PNT-01 / PNT-02</t>
  </si>
  <si>
    <t>Dashboard / Inventario</t>
  </si>
  <si>
    <t>KPIs en Dashboard (disponibles, en uso, dañados, total); tabla de inventario con cantidad actualizada tras cada movimiento</t>
  </si>
  <si>
    <t>RF-04</t>
  </si>
  <si>
    <t>Registrar el estado de los ítems</t>
  </si>
  <si>
    <t>Columna 'Estado' con badges (Disponible / En uso / Dañado); campo 'Estado' en modal Editar ítem; filtros por estado en barra de filtros</t>
  </si>
  <si>
    <t>RF-05</t>
  </si>
  <si>
    <t>Clasificar ítems por categorías</t>
  </si>
  <si>
    <t>Columna 'Categoría' con badges de color; filtro desplegable 'Todas las categorías' en barra de filtros</t>
  </si>
  <si>
    <t>RF-06</t>
  </si>
  <si>
    <t>Agregar nuevos ítems al inventario</t>
  </si>
  <si>
    <t>Botón '+ Nuevo ítem' en topbar; acceso rápido 'Ver inventario' en Dashboard; modal con campos Nombre, Categoría, Cantidad inicial, Estado y Observaciones</t>
  </si>
  <si>
    <t>RF-07</t>
  </si>
  <si>
    <t>Editar información de los ítems</t>
  </si>
  <si>
    <t>Should have</t>
  </si>
  <si>
    <t>Botón '✏️ Editar' en cada fila de la tabla; modal 'Editar ítem' con campos editables (Nombre, Categoría, Estado, Observaciones); campo ID deshabilitado (no editable)</t>
  </si>
  <si>
    <t>No</t>
  </si>
  <si>
    <t>ID no modificable conforme a la nota del RF-07</t>
  </si>
  <si>
    <t>RF-08</t>
  </si>
  <si>
    <t>Dar de baja ítems del inventario</t>
  </si>
  <si>
    <t>Botón '🗑 Dar de baja' en footer del modal 'Editar ítem'; diálogo nativo de confirmación antes de ejecutar; ítem desaparece del inventario activo</t>
  </si>
  <si>
    <t>Historial de movimientos del ítem se conserva tras la baja</t>
  </si>
  <si>
    <t>RF-09</t>
  </si>
  <si>
    <t>Generar reportes de inventario</t>
  </si>
  <si>
    <t>Reportes</t>
  </si>
  <si>
    <t>Tarjeta 'Reporte de inventario general' con botones PDF y Excel; tarjeta 'Historial de movimientos' con selector de rango de fechas; tarjeta 'Historial de préstamos por artículo'</t>
  </si>
  <si>
    <t>Validado en PNT-04; interfaz clara según retroalimentación del cliente</t>
  </si>
  <si>
    <t>RF-10</t>
  </si>
  <si>
    <t>Generar historial de movimientos filtrable por ítem o fecha</t>
  </si>
  <si>
    <t>Movimientos</t>
  </si>
  <si>
    <t>Vista Movimientos con 3 pestañas con contador: 'Todos', '📥 Entradas' y '📤 Salidas'; cada registro muestra tipo, ítem, fecha, usuario, motivo y docente responsable</t>
  </si>
  <si>
    <t>Pestañas incorporadas según retroalimentación PNT-03</t>
  </si>
  <si>
    <t>RF-11</t>
  </si>
  <si>
    <t>Manejar roles de usuario (Administrador / Usuario)</t>
  </si>
  <si>
    <t>Usuarios</t>
  </si>
  <si>
    <t>Tabla de usuarios con columnas: Usuario, Correo, Rol, Último acceso, Estado; etiquetas de rol diferenciadas; sidebar muestra usuario y rol activo</t>
  </si>
  <si>
    <t>Validado en PNT-05; solo cambio de colores solicitado</t>
  </si>
  <si>
    <t>RF-12</t>
  </si>
  <si>
    <t>Registrar observaciones por ítem</t>
  </si>
  <si>
    <t>Could have</t>
  </si>
  <si>
    <t>Campo 'Observaciones' en modal 'Agregar nuevo ítem' y en modal 'Editar ítem'; texto de observación visible bajo el nombre del ítem en la tabla</t>
  </si>
  <si>
    <t>RNF-01</t>
  </si>
  <si>
    <t>RNF</t>
  </si>
  <si>
    <t>Fácil de usar para usuarios con nivel básico</t>
  </si>
  <si>
    <t>Dashboard</t>
  </si>
  <si>
    <t>4 botones de acceso rápido en Dashboard (Registrar entrada, Registrar salida, Ver inventario, Generar reporte); navegación lateral con íconos y texto; mensajes de retroalimentación mediante toasts</t>
  </si>
  <si>
    <t>Cliente solicitó sistema más intuitivo (PNT-01); accesos directos implementados</t>
  </si>
  <si>
    <t>RNF-02</t>
  </si>
  <si>
    <t>Accesible solo dentro de la red del campus</t>
  </si>
  <si>
    <t>No aplica al prototipo</t>
  </si>
  <si>
    <t>—</t>
  </si>
  <si>
    <t>Restricción de red; implementar mediante configuración de servidor/firewall institucional</t>
  </si>
  <si>
    <t>RNF-03</t>
  </si>
  <si>
    <t>Respuesta menor a 3 segundos con hasta 5 usuarios</t>
  </si>
  <si>
    <t>Requerimiento de rendimiento; validar con pruebas de carga en implementación real</t>
  </si>
  <si>
    <t>RNF-04</t>
  </si>
  <si>
    <t>Acceso simultáneo de múltiples usuarios</t>
  </si>
  <si>
    <t>Multiusuario concurrente; validar con pruebas de estrés en implementación real</t>
  </si>
  <si>
    <t>RNF-05</t>
  </si>
  <si>
    <t>Disponible en horario académico 8:00–20:00 al 99%</t>
  </si>
  <si>
    <t>Disponibilidad de servidor; garantizar mediante configuración de hosting institucional</t>
  </si>
  <si>
    <t>RNF-06</t>
  </si>
  <si>
    <t>Garantizar integridad de datos sin pérdidas ni duplicados</t>
  </si>
  <si>
    <t>Integridad transaccional; implementar con validaciones en backend y restricciones de BD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</si>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</sst>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b/>
      <sz val="11"/>
      <color rgb="FF1F4E79"/>
      <name val="Arial"/>
      <family val="2"/>
    </font>
    <font>
      <sz val="11"/>
      <color rgb="FF404040"/>
      <name val="Arial"/>
      <family val="2"/>
    </font>
    <font>
      <b/>
      <sz val="12"/>
      <color rgb="FF1F4E79"/>
      <name val="Arial"/>
      <family val="2"/>
    </font>
    <font>
      <b/>
      <sz val="11"/>
      <color rgb="FF404040"/>
      <name val="Arial"/>
      <family val="2"/>
    </font>
    <font>
      <sz val="11"/>
      <color rgb="FF833C00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i/>
      <sz val="11"/>
      <color rgb="FF375623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7030A0"/>
      <name val="Arial"/>
      <family val="2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FFE6E6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E6E6"/>
      </patternFill>
    </fill>
    <fill>
      <patternFill patternType="solid">
        <fgColor rgb="FF2E74B5"/>
        <bgColor rgb="FF0066CC"/>
      </patternFill>
    </fill>
    <fill>
      <patternFill patternType="solid">
        <fgColor rgb="FF833C00"/>
        <bgColor rgb="FF993366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6" fillId="0" borderId="0" xfId="0" applyFont="1"/>
    <xf numFmtId="0" fontId="15" fillId="0" borderId="0" xfId="0" applyFont="1"/>
    <xf numFmtId="0" fontId="7" fillId="11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 indent="2"/>
    </xf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wrapText="1" indent="2"/>
    </xf>
    <xf numFmtId="0" fontId="12" fillId="2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33C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2" width="60" customWidth="1"/>
  </cols>
  <sheetData>
    <row r="1" spans="1:7" ht="30" customHeight="1" x14ac:dyDescent="0.2">
      <c r="A1" s="7" t="s">
        <v>0</v>
      </c>
      <c r="B1" s="7"/>
      <c r="C1" s="7"/>
      <c r="D1" s="7"/>
      <c r="E1" s="7"/>
      <c r="F1" s="7"/>
      <c r="G1" s="7"/>
    </row>
    <row r="3" spans="1:7" ht="30" customHeight="1" x14ac:dyDescent="0.2">
      <c r="A3" s="8" t="s">
        <v>1</v>
      </c>
    </row>
    <row r="4" spans="1:7" ht="19.5" customHeight="1" x14ac:dyDescent="0.2">
      <c r="A4" s="9" t="s">
        <v>2</v>
      </c>
    </row>
    <row r="6" spans="1:7" ht="30" customHeight="1" x14ac:dyDescent="0.2">
      <c r="A6" s="8" t="s">
        <v>3</v>
      </c>
    </row>
    <row r="7" spans="1:7" ht="19.5" customHeight="1" x14ac:dyDescent="0.2">
      <c r="A7" s="9" t="s">
        <v>4</v>
      </c>
    </row>
    <row r="8" spans="1:7" ht="19.5" customHeight="1" x14ac:dyDescent="0.2">
      <c r="A8" s="9" t="s">
        <v>5</v>
      </c>
    </row>
    <row r="9" spans="1:7" ht="19.5" customHeight="1" x14ac:dyDescent="0.2">
      <c r="A9" s="9" t="s">
        <v>6</v>
      </c>
    </row>
    <row r="10" spans="1:7" ht="19.5" customHeight="1" x14ac:dyDescent="0.2">
      <c r="A10" s="9" t="s">
        <v>7</v>
      </c>
    </row>
    <row r="11" spans="1:7" ht="19.5" customHeight="1" x14ac:dyDescent="0.2">
      <c r="A11" s="9" t="s">
        <v>8</v>
      </c>
    </row>
    <row r="12" spans="1:7" ht="19.5" customHeight="1" x14ac:dyDescent="0.2">
      <c r="A12" s="9" t="s">
        <v>9</v>
      </c>
    </row>
    <row r="14" spans="1:7" ht="30" customHeight="1" x14ac:dyDescent="0.2">
      <c r="A14" s="8" t="s">
        <v>10</v>
      </c>
    </row>
    <row r="15" spans="1:7" ht="19.5" customHeight="1" x14ac:dyDescent="0.2">
      <c r="A15" s="9" t="s">
        <v>11</v>
      </c>
    </row>
    <row r="16" spans="1:7" ht="19.5" customHeight="1" x14ac:dyDescent="0.2">
      <c r="A16" s="9" t="s">
        <v>12</v>
      </c>
    </row>
    <row r="17" spans="1:1" ht="19.5" customHeight="1" x14ac:dyDescent="0.2">
      <c r="A17" s="9" t="s">
        <v>13</v>
      </c>
    </row>
    <row r="18" spans="1:1" ht="19.5" customHeight="1" x14ac:dyDescent="0.2">
      <c r="A18" s="9" t="s">
        <v>14</v>
      </c>
    </row>
    <row r="20" spans="1:1" ht="30" customHeight="1" x14ac:dyDescent="0.2">
      <c r="A20" s="8" t="s">
        <v>15</v>
      </c>
    </row>
    <row r="21" spans="1:1" ht="19.5" customHeight="1" x14ac:dyDescent="0.2">
      <c r="A21" s="9" t="s">
        <v>16</v>
      </c>
    </row>
    <row r="23" spans="1:1" ht="6" customHeight="1" x14ac:dyDescent="0.2">
      <c r="A23" s="10"/>
    </row>
    <row r="24" spans="1:1" ht="21.75" customHeight="1" x14ac:dyDescent="0.2">
      <c r="A24" s="11" t="s">
        <v>17</v>
      </c>
    </row>
    <row r="25" spans="1:1" ht="18" customHeight="1" x14ac:dyDescent="0.2">
      <c r="A25" s="9" t="s">
        <v>18</v>
      </c>
    </row>
    <row r="26" spans="1:1" ht="18" customHeight="1" x14ac:dyDescent="0.2">
      <c r="A26" s="12" t="s">
        <v>19</v>
      </c>
    </row>
    <row r="27" spans="1:1" ht="18" customHeight="1" x14ac:dyDescent="0.2">
      <c r="A27" s="13" t="s">
        <v>20</v>
      </c>
    </row>
    <row r="28" spans="1:1" ht="18" customHeight="1" x14ac:dyDescent="0.2">
      <c r="A28" s="13" t="s">
        <v>21</v>
      </c>
    </row>
    <row r="29" spans="1:1" ht="18" customHeight="1" x14ac:dyDescent="0.2">
      <c r="A29" s="13" t="s">
        <v>22</v>
      </c>
    </row>
    <row r="30" spans="1:1" ht="27.75" customHeight="1" x14ac:dyDescent="0.2">
      <c r="A30" s="14" t="s">
        <v>23</v>
      </c>
    </row>
    <row r="32" spans="1:1" ht="18" customHeight="1" x14ac:dyDescent="0.2">
      <c r="A32" s="12" t="s">
        <v>24</v>
      </c>
    </row>
    <row r="33" spans="1:2" ht="19.5" customHeight="1" x14ac:dyDescent="0.2">
      <c r="A33" s="15" t="s">
        <v>25</v>
      </c>
      <c r="B33" s="15" t="s">
        <v>26</v>
      </c>
    </row>
    <row r="34" spans="1:2" ht="36" customHeight="1" x14ac:dyDescent="0.2">
      <c r="A34" s="16" t="s">
        <v>27</v>
      </c>
      <c r="B34" s="16" t="s">
        <v>28</v>
      </c>
    </row>
    <row r="35" spans="1:2" ht="36" customHeight="1" x14ac:dyDescent="0.2">
      <c r="A35" s="17" t="s">
        <v>29</v>
      </c>
      <c r="B35" s="17" t="s">
        <v>30</v>
      </c>
    </row>
    <row r="36" spans="1:2" ht="36" customHeight="1" x14ac:dyDescent="0.2">
      <c r="A36" s="16" t="s">
        <v>31</v>
      </c>
      <c r="B36" s="16" t="s">
        <v>32</v>
      </c>
    </row>
    <row r="37" spans="1:2" ht="36" customHeight="1" x14ac:dyDescent="0.2">
      <c r="A37" s="17" t="s">
        <v>33</v>
      </c>
      <c r="B37" s="17" t="s">
        <v>34</v>
      </c>
    </row>
    <row r="38" spans="1:2" ht="36" customHeight="1" x14ac:dyDescent="0.2">
      <c r="A38" s="16" t="s">
        <v>35</v>
      </c>
      <c r="B38" s="16" t="s">
        <v>36</v>
      </c>
    </row>
    <row r="39" spans="1:2" ht="36" customHeight="1" x14ac:dyDescent="0.2">
      <c r="A39" s="17" t="s">
        <v>37</v>
      </c>
      <c r="B39" s="17" t="s">
        <v>38</v>
      </c>
    </row>
    <row r="42" spans="1:2" ht="6" customHeight="1" x14ac:dyDescent="0.2">
      <c r="A42" s="10"/>
    </row>
    <row r="43" spans="1:2" ht="21.75" customHeight="1" x14ac:dyDescent="0.2">
      <c r="A43" s="11" t="s">
        <v>39</v>
      </c>
    </row>
    <row r="44" spans="1:2" ht="18" customHeight="1" x14ac:dyDescent="0.2">
      <c r="A44" s="9" t="s">
        <v>40</v>
      </c>
    </row>
    <row r="45" spans="1:2" ht="27.75" customHeight="1" x14ac:dyDescent="0.2">
      <c r="A45" s="18" t="s">
        <v>41</v>
      </c>
    </row>
    <row r="47" spans="1:2" ht="18" customHeight="1" x14ac:dyDescent="0.2">
      <c r="A47" s="12" t="s">
        <v>42</v>
      </c>
    </row>
    <row r="48" spans="1:2" ht="19.5" customHeight="1" x14ac:dyDescent="0.2">
      <c r="A48" s="19" t="s">
        <v>43</v>
      </c>
      <c r="B48" s="20" t="s">
        <v>44</v>
      </c>
    </row>
    <row r="49" spans="1:2" ht="36" customHeight="1" x14ac:dyDescent="0.2">
      <c r="A49" s="21" t="s">
        <v>45</v>
      </c>
      <c r="B49" s="22" t="s">
        <v>46</v>
      </c>
    </row>
    <row r="50" spans="1:2" ht="36" customHeight="1" x14ac:dyDescent="0.2">
      <c r="A50" s="21" t="s">
        <v>47</v>
      </c>
      <c r="B50" s="22" t="s">
        <v>48</v>
      </c>
    </row>
    <row r="51" spans="1:2" ht="36" customHeight="1" x14ac:dyDescent="0.2">
      <c r="A51" s="21" t="s">
        <v>49</v>
      </c>
      <c r="B51" s="22" t="s">
        <v>50</v>
      </c>
    </row>
    <row r="52" spans="1:2" ht="36" customHeight="1" x14ac:dyDescent="0.2">
      <c r="A52" s="21" t="s">
        <v>51</v>
      </c>
      <c r="B52" s="22" t="s">
        <v>52</v>
      </c>
    </row>
    <row r="53" spans="1:2" ht="36" customHeight="1" x14ac:dyDescent="0.2">
      <c r="A53" s="21" t="s">
        <v>53</v>
      </c>
      <c r="B53" s="22" t="s">
        <v>54</v>
      </c>
    </row>
    <row r="55" spans="1:2" ht="18" customHeight="1" x14ac:dyDescent="0.2">
      <c r="A55" s="12" t="s">
        <v>55</v>
      </c>
    </row>
    <row r="56" spans="1:2" ht="42" customHeight="1" x14ac:dyDescent="0.2">
      <c r="A56" s="23" t="s">
        <v>56</v>
      </c>
    </row>
    <row r="57" spans="1:2" ht="42" customHeight="1" x14ac:dyDescent="0.2">
      <c r="A57" s="23" t="s">
        <v>57</v>
      </c>
    </row>
    <row r="58" spans="1:2" ht="42" customHeight="1" x14ac:dyDescent="0.2">
      <c r="A58" s="23" t="s">
        <v>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10" customWidth="1"/>
    <col min="2" max="2" width="7" customWidth="1"/>
    <col min="3" max="3" width="38" customWidth="1"/>
    <col min="4" max="4" width="13" customWidth="1"/>
    <col min="5" max="5" width="14" customWidth="1"/>
    <col min="6" max="6" width="18" customWidth="1"/>
    <col min="7" max="7" width="54" customWidth="1"/>
    <col min="8" max="8" width="22" customWidth="1"/>
    <col min="9" max="9" width="14" customWidth="1"/>
    <col min="10" max="10" width="44" customWidth="1"/>
  </cols>
  <sheetData>
    <row r="1" spans="1:10" ht="27.75" customHeight="1" x14ac:dyDescent="0.2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2">
      <c r="A2" s="5" t="s">
        <v>60</v>
      </c>
      <c r="B2" s="5"/>
      <c r="C2" s="5"/>
      <c r="D2" s="5"/>
      <c r="E2" s="4" t="s">
        <v>61</v>
      </c>
      <c r="F2" s="4"/>
      <c r="G2" s="4"/>
      <c r="H2" s="4"/>
      <c r="I2" s="3" t="s">
        <v>62</v>
      </c>
      <c r="J2" s="3"/>
    </row>
    <row r="3" spans="1:10" ht="30" customHeight="1" x14ac:dyDescent="0.2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25</v>
      </c>
      <c r="F3" s="24" t="s">
        <v>67</v>
      </c>
      <c r="G3" s="24" t="s">
        <v>68</v>
      </c>
      <c r="H3" s="24" t="s">
        <v>69</v>
      </c>
      <c r="I3" s="24" t="s">
        <v>70</v>
      </c>
      <c r="J3" s="24" t="s">
        <v>71</v>
      </c>
    </row>
    <row r="4" spans="1:10" ht="54.75" customHeight="1" x14ac:dyDescent="0.2">
      <c r="A4" s="25" t="s">
        <v>72</v>
      </c>
      <c r="B4" s="26" t="s">
        <v>73</v>
      </c>
      <c r="C4" s="26" t="s">
        <v>74</v>
      </c>
      <c r="D4" s="26" t="s">
        <v>75</v>
      </c>
      <c r="E4" s="26" t="s">
        <v>29</v>
      </c>
      <c r="F4" s="26" t="s">
        <v>76</v>
      </c>
      <c r="G4" s="26" t="s">
        <v>77</v>
      </c>
      <c r="H4" s="27" t="s">
        <v>78</v>
      </c>
      <c r="I4" s="26" t="s">
        <v>79</v>
      </c>
      <c r="J4" s="26"/>
    </row>
    <row r="5" spans="1:10" ht="54.75" customHeight="1" x14ac:dyDescent="0.2">
      <c r="A5" s="25" t="s">
        <v>80</v>
      </c>
      <c r="B5" s="26" t="s">
        <v>73</v>
      </c>
      <c r="C5" s="26" t="s">
        <v>81</v>
      </c>
      <c r="D5" s="26" t="s">
        <v>75</v>
      </c>
      <c r="E5" s="26" t="s">
        <v>29</v>
      </c>
      <c r="F5" s="26" t="s">
        <v>76</v>
      </c>
      <c r="G5" s="26" t="s">
        <v>82</v>
      </c>
      <c r="H5" s="27" t="s">
        <v>78</v>
      </c>
      <c r="I5" s="26" t="s">
        <v>79</v>
      </c>
      <c r="J5" s="26" t="s">
        <v>83</v>
      </c>
    </row>
    <row r="6" spans="1:10" ht="54.75" customHeight="1" x14ac:dyDescent="0.2">
      <c r="A6" s="25" t="s">
        <v>84</v>
      </c>
      <c r="B6" s="26" t="s">
        <v>73</v>
      </c>
      <c r="C6" s="26" t="s">
        <v>85</v>
      </c>
      <c r="D6" s="26" t="s">
        <v>75</v>
      </c>
      <c r="E6" s="26" t="s">
        <v>86</v>
      </c>
      <c r="F6" s="26" t="s">
        <v>87</v>
      </c>
      <c r="G6" s="26" t="s">
        <v>88</v>
      </c>
      <c r="H6" s="27" t="s">
        <v>78</v>
      </c>
      <c r="I6" s="26" t="s">
        <v>79</v>
      </c>
      <c r="J6" s="26"/>
    </row>
    <row r="7" spans="1:10" ht="54.75" customHeight="1" x14ac:dyDescent="0.2">
      <c r="A7" s="25" t="s">
        <v>89</v>
      </c>
      <c r="B7" s="26" t="s">
        <v>73</v>
      </c>
      <c r="C7" s="26" t="s">
        <v>90</v>
      </c>
      <c r="D7" s="26" t="s">
        <v>75</v>
      </c>
      <c r="E7" s="26" t="s">
        <v>29</v>
      </c>
      <c r="F7" s="26" t="s">
        <v>76</v>
      </c>
      <c r="G7" s="26" t="s">
        <v>91</v>
      </c>
      <c r="H7" s="27" t="s">
        <v>78</v>
      </c>
      <c r="I7" s="26" t="s">
        <v>79</v>
      </c>
      <c r="J7" s="26"/>
    </row>
    <row r="8" spans="1:10" ht="54.75" customHeight="1" x14ac:dyDescent="0.2">
      <c r="A8" s="25" t="s">
        <v>92</v>
      </c>
      <c r="B8" s="26" t="s">
        <v>73</v>
      </c>
      <c r="C8" s="26" t="s">
        <v>93</v>
      </c>
      <c r="D8" s="26" t="s">
        <v>75</v>
      </c>
      <c r="E8" s="26" t="s">
        <v>29</v>
      </c>
      <c r="F8" s="26" t="s">
        <v>76</v>
      </c>
      <c r="G8" s="26" t="s">
        <v>94</v>
      </c>
      <c r="H8" s="27" t="s">
        <v>78</v>
      </c>
      <c r="I8" s="26" t="s">
        <v>79</v>
      </c>
      <c r="J8" s="26"/>
    </row>
    <row r="9" spans="1:10" ht="54.75" customHeight="1" x14ac:dyDescent="0.2">
      <c r="A9" s="25" t="s">
        <v>95</v>
      </c>
      <c r="B9" s="26" t="s">
        <v>73</v>
      </c>
      <c r="C9" s="26" t="s">
        <v>96</v>
      </c>
      <c r="D9" s="26" t="s">
        <v>75</v>
      </c>
      <c r="E9" s="26" t="s">
        <v>86</v>
      </c>
      <c r="F9" s="26" t="s">
        <v>87</v>
      </c>
      <c r="G9" s="26" t="s">
        <v>97</v>
      </c>
      <c r="H9" s="27" t="s">
        <v>78</v>
      </c>
      <c r="I9" s="26" t="s">
        <v>79</v>
      </c>
      <c r="J9" s="26"/>
    </row>
    <row r="10" spans="1:10" ht="54.75" customHeight="1" x14ac:dyDescent="0.2">
      <c r="A10" s="25" t="s">
        <v>98</v>
      </c>
      <c r="B10" s="26" t="s">
        <v>73</v>
      </c>
      <c r="C10" s="26" t="s">
        <v>99</v>
      </c>
      <c r="D10" s="26" t="s">
        <v>100</v>
      </c>
      <c r="E10" s="26" t="s">
        <v>29</v>
      </c>
      <c r="F10" s="26" t="s">
        <v>76</v>
      </c>
      <c r="G10" s="26" t="s">
        <v>101</v>
      </c>
      <c r="H10" s="27" t="s">
        <v>78</v>
      </c>
      <c r="I10" s="26" t="s">
        <v>102</v>
      </c>
      <c r="J10" s="26" t="s">
        <v>103</v>
      </c>
    </row>
    <row r="11" spans="1:10" ht="54.75" customHeight="1" x14ac:dyDescent="0.2">
      <c r="A11" s="25" t="s">
        <v>104</v>
      </c>
      <c r="B11" s="26" t="s">
        <v>73</v>
      </c>
      <c r="C11" s="26" t="s">
        <v>105</v>
      </c>
      <c r="D11" s="26" t="s">
        <v>100</v>
      </c>
      <c r="E11" s="26" t="s">
        <v>29</v>
      </c>
      <c r="F11" s="26" t="s">
        <v>76</v>
      </c>
      <c r="G11" s="26" t="s">
        <v>106</v>
      </c>
      <c r="H11" s="27" t="s">
        <v>78</v>
      </c>
      <c r="I11" s="26" t="s">
        <v>102</v>
      </c>
      <c r="J11" s="26" t="s">
        <v>107</v>
      </c>
    </row>
    <row r="12" spans="1:10" ht="54.75" customHeight="1" x14ac:dyDescent="0.2">
      <c r="A12" s="25" t="s">
        <v>108</v>
      </c>
      <c r="B12" s="26" t="s">
        <v>73</v>
      </c>
      <c r="C12" s="26" t="s">
        <v>109</v>
      </c>
      <c r="D12" s="26" t="s">
        <v>100</v>
      </c>
      <c r="E12" s="26" t="s">
        <v>33</v>
      </c>
      <c r="F12" s="26" t="s">
        <v>110</v>
      </c>
      <c r="G12" s="26" t="s">
        <v>111</v>
      </c>
      <c r="H12" s="27" t="s">
        <v>78</v>
      </c>
      <c r="I12" s="26" t="s">
        <v>79</v>
      </c>
      <c r="J12" s="26" t="s">
        <v>112</v>
      </c>
    </row>
    <row r="13" spans="1:10" ht="54.75" customHeight="1" x14ac:dyDescent="0.2">
      <c r="A13" s="25" t="s">
        <v>113</v>
      </c>
      <c r="B13" s="26" t="s">
        <v>73</v>
      </c>
      <c r="C13" s="26" t="s">
        <v>114</v>
      </c>
      <c r="D13" s="26" t="s">
        <v>100</v>
      </c>
      <c r="E13" s="26" t="s">
        <v>31</v>
      </c>
      <c r="F13" s="26" t="s">
        <v>115</v>
      </c>
      <c r="G13" s="26" t="s">
        <v>116</v>
      </c>
      <c r="H13" s="27" t="s">
        <v>78</v>
      </c>
      <c r="I13" s="26" t="s">
        <v>79</v>
      </c>
      <c r="J13" s="26" t="s">
        <v>117</v>
      </c>
    </row>
    <row r="14" spans="1:10" ht="54.75" customHeight="1" x14ac:dyDescent="0.2">
      <c r="A14" s="25" t="s">
        <v>118</v>
      </c>
      <c r="B14" s="26" t="s">
        <v>73</v>
      </c>
      <c r="C14" s="26" t="s">
        <v>119</v>
      </c>
      <c r="D14" s="26" t="s">
        <v>75</v>
      </c>
      <c r="E14" s="26" t="s">
        <v>35</v>
      </c>
      <c r="F14" s="26" t="s">
        <v>120</v>
      </c>
      <c r="G14" s="26" t="s">
        <v>121</v>
      </c>
      <c r="H14" s="27" t="s">
        <v>78</v>
      </c>
      <c r="I14" s="26" t="s">
        <v>79</v>
      </c>
      <c r="J14" s="26" t="s">
        <v>122</v>
      </c>
    </row>
    <row r="15" spans="1:10" ht="54.75" customHeight="1" x14ac:dyDescent="0.2">
      <c r="A15" s="25" t="s">
        <v>123</v>
      </c>
      <c r="B15" s="26" t="s">
        <v>73</v>
      </c>
      <c r="C15" s="26" t="s">
        <v>124</v>
      </c>
      <c r="D15" s="26" t="s">
        <v>125</v>
      </c>
      <c r="E15" s="26" t="s">
        <v>29</v>
      </c>
      <c r="F15" s="26" t="s">
        <v>76</v>
      </c>
      <c r="G15" s="26" t="s">
        <v>126</v>
      </c>
      <c r="H15" s="27" t="s">
        <v>78</v>
      </c>
      <c r="I15" s="26" t="s">
        <v>79</v>
      </c>
      <c r="J15" s="26"/>
    </row>
    <row r="16" spans="1:10" ht="54.75" customHeight="1" x14ac:dyDescent="0.2">
      <c r="A16" s="28" t="s">
        <v>127</v>
      </c>
      <c r="B16" s="29" t="s">
        <v>128</v>
      </c>
      <c r="C16" s="30" t="s">
        <v>129</v>
      </c>
      <c r="D16" s="30" t="s">
        <v>100</v>
      </c>
      <c r="E16" s="30" t="s">
        <v>27</v>
      </c>
      <c r="F16" s="30" t="s">
        <v>130</v>
      </c>
      <c r="G16" s="30" t="s">
        <v>131</v>
      </c>
      <c r="H16" s="31" t="s">
        <v>78</v>
      </c>
      <c r="I16" s="30" t="s">
        <v>79</v>
      </c>
      <c r="J16" s="30" t="s">
        <v>132</v>
      </c>
    </row>
    <row r="17" spans="1:10" ht="54.75" customHeight="1" x14ac:dyDescent="0.2">
      <c r="A17" s="28" t="s">
        <v>133</v>
      </c>
      <c r="B17" s="29" t="s">
        <v>128</v>
      </c>
      <c r="C17" s="30" t="s">
        <v>134</v>
      </c>
      <c r="D17" s="30" t="s">
        <v>75</v>
      </c>
      <c r="E17" s="30"/>
      <c r="F17" s="30"/>
      <c r="G17" s="30"/>
      <c r="H17" s="32" t="s">
        <v>135</v>
      </c>
      <c r="I17" s="30" t="s">
        <v>136</v>
      </c>
      <c r="J17" s="30" t="s">
        <v>137</v>
      </c>
    </row>
    <row r="18" spans="1:10" ht="54.75" customHeight="1" x14ac:dyDescent="0.2">
      <c r="A18" s="28" t="s">
        <v>138</v>
      </c>
      <c r="B18" s="29" t="s">
        <v>128</v>
      </c>
      <c r="C18" s="30" t="s">
        <v>139</v>
      </c>
      <c r="D18" s="30" t="s">
        <v>75</v>
      </c>
      <c r="E18" s="30"/>
      <c r="F18" s="30"/>
      <c r="G18" s="30"/>
      <c r="H18" s="32" t="s">
        <v>135</v>
      </c>
      <c r="I18" s="30" t="s">
        <v>136</v>
      </c>
      <c r="J18" s="30" t="s">
        <v>140</v>
      </c>
    </row>
    <row r="19" spans="1:10" ht="54.75" customHeight="1" x14ac:dyDescent="0.2">
      <c r="A19" s="28" t="s">
        <v>141</v>
      </c>
      <c r="B19" s="29" t="s">
        <v>128</v>
      </c>
      <c r="C19" s="30" t="s">
        <v>142</v>
      </c>
      <c r="D19" s="30" t="s">
        <v>100</v>
      </c>
      <c r="E19" s="30"/>
      <c r="F19" s="30"/>
      <c r="G19" s="30"/>
      <c r="H19" s="32" t="s">
        <v>135</v>
      </c>
      <c r="I19" s="30" t="s">
        <v>136</v>
      </c>
      <c r="J19" s="30" t="s">
        <v>143</v>
      </c>
    </row>
    <row r="20" spans="1:10" ht="54.75" customHeight="1" x14ac:dyDescent="0.2">
      <c r="A20" s="28" t="s">
        <v>144</v>
      </c>
      <c r="B20" s="29" t="s">
        <v>128</v>
      </c>
      <c r="C20" s="30" t="s">
        <v>145</v>
      </c>
      <c r="D20" s="30" t="s">
        <v>75</v>
      </c>
      <c r="E20" s="30"/>
      <c r="F20" s="30"/>
      <c r="G20" s="30"/>
      <c r="H20" s="32" t="s">
        <v>135</v>
      </c>
      <c r="I20" s="30" t="s">
        <v>136</v>
      </c>
      <c r="J20" s="30" t="s">
        <v>146</v>
      </c>
    </row>
    <row r="21" spans="1:10" ht="54.75" customHeight="1" x14ac:dyDescent="0.2">
      <c r="A21" s="28" t="s">
        <v>147</v>
      </c>
      <c r="B21" s="29" t="s">
        <v>128</v>
      </c>
      <c r="C21" s="30" t="s">
        <v>148</v>
      </c>
      <c r="D21" s="30" t="s">
        <v>75</v>
      </c>
      <c r="E21" s="30"/>
      <c r="F21" s="30"/>
      <c r="G21" s="30"/>
      <c r="H21" s="32" t="s">
        <v>135</v>
      </c>
      <c r="I21" s="30" t="s">
        <v>136</v>
      </c>
      <c r="J21" s="30" t="s">
        <v>149</v>
      </c>
    </row>
  </sheetData>
  <autoFilter ref="A3:J200" xr:uid="{00000000-0009-0000-0000-000001000000}"/>
  <mergeCells count="4">
    <mergeCell ref="A1:J1"/>
    <mergeCell ref="A2:D2"/>
    <mergeCell ref="E2:H2"/>
    <mergeCell ref="I2:J2"/>
  </mergeCells>
  <dataValidations count="2">
    <dataValidation type="list" allowBlank="1" sqref="H4:H200" xr:uid="{00000000-0002-0000-0100-000000000000}">
      <formula1>"Cubierto,Parcialmente cubierto,No cubierto,No aplica al prototipo"</formula1>
      <formula2>0</formula2>
    </dataValidation>
    <dataValidation type="list" allowBlank="1" sqref="I4:I200" xr:uid="{00000000-0002-0000-0100-000001000000}">
      <formula1>"Sí,No,—"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baseColWidth="10" defaultColWidth="8.6640625" defaultRowHeight="15" x14ac:dyDescent="0.2"/>
  <cols>
    <col min="1" max="1" width="45" customWidth="1"/>
    <col min="2" max="2" width="20" customWidth="1"/>
  </cols>
  <sheetData>
    <row r="1" spans="1:4" ht="27.75" customHeight="1" x14ac:dyDescent="0.2">
      <c r="A1" s="2" t="s">
        <v>150</v>
      </c>
      <c r="B1" s="2"/>
      <c r="C1" s="2"/>
      <c r="D1" s="2"/>
    </row>
    <row r="3" spans="1:4" x14ac:dyDescent="0.2">
      <c r="A3" s="1" t="s">
        <v>151</v>
      </c>
      <c r="B3" s="1"/>
      <c r="C3" s="1"/>
      <c r="D3" s="1"/>
    </row>
    <row r="5" spans="1:4" x14ac:dyDescent="0.2">
      <c r="A5" s="33" t="s">
        <v>152</v>
      </c>
      <c r="B5" s="33" t="s">
        <v>153</v>
      </c>
    </row>
    <row r="6" spans="1:4" x14ac:dyDescent="0.2">
      <c r="A6" s="34" t="s">
        <v>154</v>
      </c>
      <c r="B6" s="34">
        <f>COUNTA(Trazabilidad!A4:A200)-COUNTBLANK(Trazabilidad!A4:A200)</f>
        <v>-161</v>
      </c>
    </row>
    <row r="7" spans="1:4" x14ac:dyDescent="0.2">
      <c r="A7" s="34" t="s">
        <v>155</v>
      </c>
      <c r="B7" s="34">
        <f>COUNTIF(Trazabilidad!H4:H200,"Cubierto")</f>
        <v>13</v>
      </c>
    </row>
    <row r="8" spans="1:4" x14ac:dyDescent="0.2">
      <c r="A8" s="34" t="s">
        <v>156</v>
      </c>
      <c r="B8" s="34">
        <f>COUNTIF(Trazabilidad!H4:H200,"Parcialmente cubierto")</f>
        <v>0</v>
      </c>
    </row>
    <row r="9" spans="1:4" x14ac:dyDescent="0.2">
      <c r="A9" s="34" t="s">
        <v>157</v>
      </c>
      <c r="B9" s="34">
        <f>COUNTIF(Trazabilidad!H4:H200,"No cubierto")</f>
        <v>0</v>
      </c>
    </row>
    <row r="10" spans="1:4" x14ac:dyDescent="0.2">
      <c r="A10" s="34" t="s">
        <v>158</v>
      </c>
      <c r="B10" s="34">
        <f>COUNTIF(Trazabilidad!H4:H200,"No aplica al prototipo")</f>
        <v>5</v>
      </c>
    </row>
    <row r="12" spans="1:4" x14ac:dyDescent="0.2">
      <c r="A12" s="34" t="s">
        <v>159</v>
      </c>
      <c r="B12" s="34">
        <f>COUNTIF(Trazabilidad!I4:I200,"Sí")</f>
        <v>11</v>
      </c>
    </row>
    <row r="13" spans="1:4" x14ac:dyDescent="0.2">
      <c r="A13" s="34" t="s">
        <v>160</v>
      </c>
      <c r="B13" s="34">
        <f>COUNTIF(Trazabilidad!I4:I200,"No")</f>
        <v>2</v>
      </c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NICOLLE ORTEGA MORENO</cp:lastModifiedBy>
  <cp:revision>0</cp:revision>
  <dcterms:created xsi:type="dcterms:W3CDTF">2026-05-28T16:50:59Z</dcterms:created>
  <dcterms:modified xsi:type="dcterms:W3CDTF">2026-06-18T21:27:51Z</dcterms:modified>
  <dc:language>en-US</dc:language>
</cp:coreProperties>
</file>